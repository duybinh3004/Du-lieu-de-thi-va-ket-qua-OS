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Data\Giay to\binhdd\Bang diem\SP\25-26\THU\HDH\"/>
    </mc:Choice>
  </mc:AlternateContent>
  <bookViews>
    <workbookView xWindow="0" yWindow="0" windowWidth="22560" windowHeight="10880"/>
  </bookViews>
  <sheets>
    <sheet name="os_ts Midterm" sheetId="1" r:id="rId1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</calcChain>
</file>

<file path=xl/sharedStrings.xml><?xml version="1.0" encoding="utf-8"?>
<sst xmlns="http://schemas.openxmlformats.org/spreadsheetml/2006/main" count="1759" uniqueCount="185">
  <si>
    <t>Surname</t>
  </si>
  <si>
    <t>First name</t>
  </si>
  <si>
    <t>ID number</t>
  </si>
  <si>
    <t>Email address</t>
  </si>
  <si>
    <t>Grade/10.00</t>
  </si>
  <si>
    <t>Q. 1 /0.25</t>
  </si>
  <si>
    <t>Q. 2 /0.25</t>
  </si>
  <si>
    <t>Q. 3 /0.25</t>
  </si>
  <si>
    <t>Q. 4 /0.25</t>
  </si>
  <si>
    <t>Q. 5 /0.25</t>
  </si>
  <si>
    <t>Q. 6 /0.25</t>
  </si>
  <si>
    <t>Q. 7 /0.25</t>
  </si>
  <si>
    <t>Q. 8 /0.25</t>
  </si>
  <si>
    <t>Q. 9 /0.25</t>
  </si>
  <si>
    <t>Q. 10 /0.25</t>
  </si>
  <si>
    <t>Q. 11 /0.25</t>
  </si>
  <si>
    <t>Q. 12 /0.25</t>
  </si>
  <si>
    <t>Q. 13 /0.25</t>
  </si>
  <si>
    <t>Q. 14 /0.25</t>
  </si>
  <si>
    <t>Q. 15 /0.25</t>
  </si>
  <si>
    <t>Q. 16 /0.25</t>
  </si>
  <si>
    <t>Q. 17 /0.25</t>
  </si>
  <si>
    <t>Q. 18 /0.25</t>
  </si>
  <si>
    <t>Q. 19 /0.25</t>
  </si>
  <si>
    <t>Q. 20 /0.25</t>
  </si>
  <si>
    <t>Q. 21 /0.25</t>
  </si>
  <si>
    <t>Q. 22 /0.25</t>
  </si>
  <si>
    <t>Q. 23 /0.25</t>
  </si>
  <si>
    <t>Q. 24 /0.25</t>
  </si>
  <si>
    <t>Q. 25 /0.25</t>
  </si>
  <si>
    <t>Q. 26 /0.25</t>
  </si>
  <si>
    <t>Q. 27 /0.25</t>
  </si>
  <si>
    <t>Q. 28 /0.25</t>
  </si>
  <si>
    <t>Q. 29 /0.25</t>
  </si>
  <si>
    <t>Q. 30 /0.25</t>
  </si>
  <si>
    <t>Q. 31 /0.25</t>
  </si>
  <si>
    <t>Q. 32 /0.25</t>
  </si>
  <si>
    <t>Q. 33 /0.25</t>
  </si>
  <si>
    <t>Q. 34 /0.25</t>
  </si>
  <si>
    <t>Q. 35 /0.25</t>
  </si>
  <si>
    <t>Q. 36 /0.25</t>
  </si>
  <si>
    <t>Q. 37 /0.25</t>
  </si>
  <si>
    <t>Q. 38 /0.25</t>
  </si>
  <si>
    <t>Q. 39 /0.25</t>
  </si>
  <si>
    <t>Q. 40 /0.25</t>
  </si>
  <si>
    <t>Thành</t>
  </si>
  <si>
    <t>Nguyễn Nhật</t>
  </si>
  <si>
    <t>3120124028@ued.udn.vn</t>
  </si>
  <si>
    <t>8.75</t>
  </si>
  <si>
    <t>0.25</t>
  </si>
  <si>
    <t>0.00</t>
  </si>
  <si>
    <t>Quỳnh</t>
  </si>
  <si>
    <t>Đào Thị Yên</t>
  </si>
  <si>
    <t>3120124020@ued.udn.vn</t>
  </si>
  <si>
    <t>8.50</t>
  </si>
  <si>
    <t>Hiếu</t>
  </si>
  <si>
    <t>Nguyễn Đình Minh</t>
  </si>
  <si>
    <t>3120124012@ued.udn.vn</t>
  </si>
  <si>
    <t>9.25</t>
  </si>
  <si>
    <t>Huy</t>
  </si>
  <si>
    <t>Nguyễn Văn Minh</t>
  </si>
  <si>
    <t>3120124013@ued.udn.vn</t>
  </si>
  <si>
    <t>8.00</t>
  </si>
  <si>
    <t>-</t>
  </si>
  <si>
    <t>Như</t>
  </si>
  <si>
    <t>Hoàng Nguyễn Quỳnh</t>
  </si>
  <si>
    <t>3120124018@ued.udn.vn</t>
  </si>
  <si>
    <t>7.75</t>
  </si>
  <si>
    <t>Hoàng Thị Như</t>
  </si>
  <si>
    <t>3120124021@ued.udn.vn</t>
  </si>
  <si>
    <t>8.25</t>
  </si>
  <si>
    <t>Tùng</t>
  </si>
  <si>
    <t>Lê Quang</t>
  </si>
  <si>
    <t>3120124034@ued.udn.vn</t>
  </si>
  <si>
    <t>9.00</t>
  </si>
  <si>
    <t>Bảo</t>
  </si>
  <si>
    <t>Lê Hoàng</t>
  </si>
  <si>
    <t>3120124003@ued.udn.vn</t>
  </si>
  <si>
    <t>Trang</t>
  </si>
  <si>
    <t>Nguyễn Ngô Bảo</t>
  </si>
  <si>
    <t>3120124030@ued.udn.vn</t>
  </si>
  <si>
    <t>Dung</t>
  </si>
  <si>
    <t>Alăng Thị</t>
  </si>
  <si>
    <t>3120124039@ued.udn.vn</t>
  </si>
  <si>
    <t>Đan</t>
  </si>
  <si>
    <t>Coor Thị Thảo</t>
  </si>
  <si>
    <t>3120124009@ued.udn.vn</t>
  </si>
  <si>
    <t>7.25</t>
  </si>
  <si>
    <t>Phạm Thị Thúy</t>
  </si>
  <si>
    <t>3120124022@ued.udn.vn</t>
  </si>
  <si>
    <t>7.50</t>
  </si>
  <si>
    <t>An</t>
  </si>
  <si>
    <t>Thái Nguyên</t>
  </si>
  <si>
    <t>3120124001@ued.udn.vn</t>
  </si>
  <si>
    <t>6.75</t>
  </si>
  <si>
    <t>Trinh</t>
  </si>
  <si>
    <t>Huỳnh Trần Phương</t>
  </si>
  <si>
    <t>3120124031@ued.udn.vn</t>
  </si>
  <si>
    <t>6.50</t>
  </si>
  <si>
    <t>Tài</t>
  </si>
  <si>
    <t>Bùi Trọng Tuấn</t>
  </si>
  <si>
    <t>3120124025@ued.udn.vn</t>
  </si>
  <si>
    <t>5.25</t>
  </si>
  <si>
    <t>Nguyễn Tấn</t>
  </si>
  <si>
    <t>3120124026@ued.udn.vn</t>
  </si>
  <si>
    <t>6.25</t>
  </si>
  <si>
    <t>Linh</t>
  </si>
  <si>
    <t>Nguyễn Thị Hoài</t>
  </si>
  <si>
    <t>3120422007@ued.udn.vn</t>
  </si>
  <si>
    <t>Quang</t>
  </si>
  <si>
    <t>Hoàng Anh</t>
  </si>
  <si>
    <t>3120124019@ued.udn.vn</t>
  </si>
  <si>
    <t>Sen</t>
  </si>
  <si>
    <t>Võ Huỳnh Xuân</t>
  </si>
  <si>
    <t>3120124024@ued.udn.vn</t>
  </si>
  <si>
    <t>7.00</t>
  </si>
  <si>
    <t>Trần Lê Như</t>
  </si>
  <si>
    <t>3120124023@ued.udn.vn</t>
  </si>
  <si>
    <t>Trân</t>
  </si>
  <si>
    <t>Nguyễn Phúc Bảo</t>
  </si>
  <si>
    <t>3120124029@ued.udn.vn</t>
  </si>
  <si>
    <t>Tuấn</t>
  </si>
  <si>
    <t>Nguyễn Huy</t>
  </si>
  <si>
    <t>3120124033@ued.udn.vn</t>
  </si>
  <si>
    <t>Lê Văn</t>
  </si>
  <si>
    <t>3120124004@ued.udn.vn</t>
  </si>
  <si>
    <t>Lập</t>
  </si>
  <si>
    <t>Nguyễn Quốc</t>
  </si>
  <si>
    <t>3120124014@ued.udn.vn</t>
  </si>
  <si>
    <t>Uy</t>
  </si>
  <si>
    <t>Nguyễn Triệu Phúc</t>
  </si>
  <si>
    <t>3120124036@ued.udn.vn</t>
  </si>
  <si>
    <t>Châu</t>
  </si>
  <si>
    <t>Lê Thị Xuân</t>
  </si>
  <si>
    <t>3120124006@ued.udn.vn</t>
  </si>
  <si>
    <t>Trương Văn</t>
  </si>
  <si>
    <t>3120124005@ued.udn.vn</t>
  </si>
  <si>
    <t>Nhi</t>
  </si>
  <si>
    <t>Huỳnh Đỗ Yến</t>
  </si>
  <si>
    <t>3120124017@ued.udn.vn</t>
  </si>
  <si>
    <t>Tấn</t>
  </si>
  <si>
    <t>Nguyễn Cảnh</t>
  </si>
  <si>
    <t>3120124027@ued.udn.vn</t>
  </si>
  <si>
    <t>Ngọc</t>
  </si>
  <si>
    <t>Trần Đỗ Hồng</t>
  </si>
  <si>
    <t>3120124016@ued.udn.vn</t>
  </si>
  <si>
    <t>Vy</t>
  </si>
  <si>
    <t>Phạm Thị Hà</t>
  </si>
  <si>
    <t>3120124037@ued.udn.vn</t>
  </si>
  <si>
    <t>Tú</t>
  </si>
  <si>
    <t>Phan Thị Cẩm</t>
  </si>
  <si>
    <t>3120124032@ued.udn.vn</t>
  </si>
  <si>
    <t>Bouakeo</t>
  </si>
  <si>
    <t>Ladisa</t>
  </si>
  <si>
    <t>3120124038@ued.udn.vn</t>
  </si>
  <si>
    <t>Quân</t>
  </si>
  <si>
    <t>Nguyễn Phước</t>
  </si>
  <si>
    <t>3120221441@ued.udn.vn</t>
  </si>
  <si>
    <t>Trường</t>
  </si>
  <si>
    <t>Bhling</t>
  </si>
  <si>
    <t>3120124040@ued.udn.vn</t>
  </si>
  <si>
    <t>Đạo</t>
  </si>
  <si>
    <t>Đoàn Trung</t>
  </si>
  <si>
    <t>3120124010@ued.udn.vn</t>
  </si>
  <si>
    <t>Dự</t>
  </si>
  <si>
    <t>Trần Công</t>
  </si>
  <si>
    <t>3120221348@ued.udn.vn</t>
  </si>
  <si>
    <t>Lợi</t>
  </si>
  <si>
    <t>Nguyễn Xuân</t>
  </si>
  <si>
    <t>3120124015@ued.udn.vn</t>
  </si>
  <si>
    <t>Overall average</t>
  </si>
  <si>
    <t>7.71</t>
  </si>
  <si>
    <t>0.21</t>
  </si>
  <si>
    <t>0.20</t>
  </si>
  <si>
    <t>0.23</t>
  </si>
  <si>
    <t>0.24</t>
  </si>
  <si>
    <t>0.18</t>
  </si>
  <si>
    <t>0.22</t>
  </si>
  <si>
    <t>0.19</t>
  </si>
  <si>
    <t>0.17</t>
  </si>
  <si>
    <t>0.14</t>
  </si>
  <si>
    <t>0.16</t>
  </si>
  <si>
    <t>0.15</t>
  </si>
  <si>
    <t>0.13</t>
  </si>
  <si>
    <t>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</si>
</sst>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0"/>
  <sheetViews>
    <sheetView tabSelected="1" topLeftCell="A11" workbookViewId="0">
      <selection activeCell="F2" sqref="F2:F39"/>
    </sheetView>
  </sheetViews>
  <sheetFormatPr defaultRowHeight="15.5" x14ac:dyDescent="0.35"/>
  <cols>
    <col min="4" max="6" width="22.83203125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</row>
    <row r="2" spans="1:47" x14ac:dyDescent="0.35">
      <c r="A2" t="s">
        <v>45</v>
      </c>
      <c r="B2" t="s">
        <v>46</v>
      </c>
      <c r="D2" t="s">
        <v>47</v>
      </c>
      <c r="E2" t="str">
        <f>LEFT(D2,10)</f>
        <v>3120124028</v>
      </c>
      <c r="F2">
        <f>ROUNDUP(G2,1)</f>
        <v>8.7999999999999989</v>
      </c>
      <c r="G2" t="s">
        <v>48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50</v>
      </c>
      <c r="AI2" t="s">
        <v>50</v>
      </c>
      <c r="AJ2" t="s">
        <v>49</v>
      </c>
      <c r="AK2" t="s">
        <v>49</v>
      </c>
      <c r="AL2" t="s">
        <v>50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50</v>
      </c>
      <c r="AS2" t="s">
        <v>50</v>
      </c>
      <c r="AT2" t="s">
        <v>49</v>
      </c>
      <c r="AU2" t="s">
        <v>49</v>
      </c>
    </row>
    <row r="3" spans="1:47" x14ac:dyDescent="0.35">
      <c r="A3" t="s">
        <v>51</v>
      </c>
      <c r="B3" t="s">
        <v>52</v>
      </c>
      <c r="D3" t="s">
        <v>53</v>
      </c>
      <c r="E3" t="str">
        <f t="shared" ref="E3:E39" si="0">LEFT(D3,10)</f>
        <v>3120124020</v>
      </c>
      <c r="F3">
        <f t="shared" ref="F3:F39" si="1">ROUNDUP(G3,1)</f>
        <v>8.5</v>
      </c>
      <c r="G3" t="s">
        <v>54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50</v>
      </c>
      <c r="S3" t="s">
        <v>49</v>
      </c>
      <c r="T3" t="s">
        <v>49</v>
      </c>
      <c r="U3" t="s">
        <v>50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50</v>
      </c>
      <c r="AO3" t="s">
        <v>49</v>
      </c>
      <c r="AP3" t="s">
        <v>49</v>
      </c>
      <c r="AQ3" t="s">
        <v>49</v>
      </c>
      <c r="AR3" t="s">
        <v>50</v>
      </c>
      <c r="AS3" t="s">
        <v>50</v>
      </c>
      <c r="AT3" t="s">
        <v>49</v>
      </c>
      <c r="AU3" t="s">
        <v>50</v>
      </c>
    </row>
    <row r="4" spans="1:47" x14ac:dyDescent="0.35">
      <c r="A4" t="s">
        <v>55</v>
      </c>
      <c r="B4" t="s">
        <v>56</v>
      </c>
      <c r="D4" t="s">
        <v>57</v>
      </c>
      <c r="E4" t="str">
        <f t="shared" si="0"/>
        <v>3120124012</v>
      </c>
      <c r="F4">
        <f t="shared" si="1"/>
        <v>9.2999999999999989</v>
      </c>
      <c r="G4" t="s">
        <v>58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50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50</v>
      </c>
      <c r="AT4" t="s">
        <v>49</v>
      </c>
      <c r="AU4" t="s">
        <v>50</v>
      </c>
    </row>
    <row r="5" spans="1:47" x14ac:dyDescent="0.35">
      <c r="A5" t="s">
        <v>59</v>
      </c>
      <c r="B5" t="s">
        <v>60</v>
      </c>
      <c r="D5" t="s">
        <v>61</v>
      </c>
      <c r="E5" t="str">
        <f t="shared" si="0"/>
        <v>3120124013</v>
      </c>
      <c r="F5">
        <f t="shared" si="1"/>
        <v>8</v>
      </c>
      <c r="G5" t="s">
        <v>62</v>
      </c>
      <c r="H5" t="s">
        <v>63</v>
      </c>
      <c r="I5" t="s">
        <v>49</v>
      </c>
      <c r="J5" t="s">
        <v>49</v>
      </c>
      <c r="K5" t="s">
        <v>49</v>
      </c>
      <c r="L5" t="s">
        <v>49</v>
      </c>
      <c r="M5" t="s">
        <v>63</v>
      </c>
      <c r="N5" t="s">
        <v>63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50</v>
      </c>
      <c r="AB5" t="s">
        <v>49</v>
      </c>
      <c r="AC5" t="s">
        <v>49</v>
      </c>
      <c r="AD5" t="s">
        <v>63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50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50</v>
      </c>
      <c r="AT5" t="s">
        <v>63</v>
      </c>
      <c r="AU5" t="s">
        <v>49</v>
      </c>
    </row>
    <row r="6" spans="1:47" x14ac:dyDescent="0.35">
      <c r="A6" t="s">
        <v>64</v>
      </c>
      <c r="B6" t="s">
        <v>65</v>
      </c>
      <c r="D6" t="s">
        <v>66</v>
      </c>
      <c r="E6" t="str">
        <f t="shared" si="0"/>
        <v>3120124018</v>
      </c>
      <c r="F6">
        <f t="shared" si="1"/>
        <v>7.8</v>
      </c>
      <c r="G6" t="s">
        <v>67</v>
      </c>
      <c r="H6" t="s">
        <v>49</v>
      </c>
      <c r="I6" t="s">
        <v>49</v>
      </c>
      <c r="J6" t="s">
        <v>49</v>
      </c>
      <c r="K6" t="s">
        <v>50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63</v>
      </c>
      <c r="AE6" t="s">
        <v>49</v>
      </c>
      <c r="AF6" t="s">
        <v>49</v>
      </c>
      <c r="AG6" t="s">
        <v>50</v>
      </c>
      <c r="AH6" t="s">
        <v>49</v>
      </c>
      <c r="AI6" t="s">
        <v>63</v>
      </c>
      <c r="AJ6" t="s">
        <v>49</v>
      </c>
      <c r="AK6" t="s">
        <v>49</v>
      </c>
      <c r="AL6" t="s">
        <v>49</v>
      </c>
      <c r="AM6" t="s">
        <v>50</v>
      </c>
      <c r="AN6" t="s">
        <v>49</v>
      </c>
      <c r="AO6" t="s">
        <v>63</v>
      </c>
      <c r="AP6" t="s">
        <v>49</v>
      </c>
      <c r="AQ6" t="s">
        <v>50</v>
      </c>
      <c r="AR6" t="s">
        <v>63</v>
      </c>
      <c r="AS6" t="s">
        <v>50</v>
      </c>
      <c r="AT6" t="s">
        <v>49</v>
      </c>
      <c r="AU6" t="s">
        <v>49</v>
      </c>
    </row>
    <row r="7" spans="1:47" x14ac:dyDescent="0.35">
      <c r="A7" t="s">
        <v>51</v>
      </c>
      <c r="B7" t="s">
        <v>68</v>
      </c>
      <c r="D7" t="s">
        <v>69</v>
      </c>
      <c r="E7" t="str">
        <f t="shared" si="0"/>
        <v>3120124021</v>
      </c>
      <c r="F7">
        <f t="shared" si="1"/>
        <v>8.2999999999999989</v>
      </c>
      <c r="G7" t="s">
        <v>70</v>
      </c>
      <c r="H7" t="s">
        <v>49</v>
      </c>
      <c r="I7" t="s">
        <v>49</v>
      </c>
      <c r="J7" t="s">
        <v>49</v>
      </c>
      <c r="K7" t="s">
        <v>50</v>
      </c>
      <c r="L7" t="s">
        <v>49</v>
      </c>
      <c r="M7" t="s">
        <v>50</v>
      </c>
      <c r="N7" t="s">
        <v>49</v>
      </c>
      <c r="O7" t="s">
        <v>49</v>
      </c>
      <c r="P7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50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50</v>
      </c>
      <c r="AN7" t="s">
        <v>49</v>
      </c>
      <c r="AO7" t="s">
        <v>49</v>
      </c>
      <c r="AP7" t="s">
        <v>50</v>
      </c>
      <c r="AQ7" t="s">
        <v>49</v>
      </c>
      <c r="AR7" t="s">
        <v>49</v>
      </c>
      <c r="AS7" t="s">
        <v>49</v>
      </c>
      <c r="AT7" t="s">
        <v>50</v>
      </c>
      <c r="AU7" t="s">
        <v>49</v>
      </c>
    </row>
    <row r="8" spans="1:47" x14ac:dyDescent="0.35">
      <c r="A8" t="s">
        <v>71</v>
      </c>
      <c r="B8" t="s">
        <v>72</v>
      </c>
      <c r="D8" t="s">
        <v>73</v>
      </c>
      <c r="E8" t="str">
        <f t="shared" si="0"/>
        <v>3120124034</v>
      </c>
      <c r="F8">
        <f t="shared" si="1"/>
        <v>9</v>
      </c>
      <c r="G8" t="s">
        <v>74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50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50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50</v>
      </c>
      <c r="AT8" t="s">
        <v>49</v>
      </c>
      <c r="AU8" t="s">
        <v>50</v>
      </c>
    </row>
    <row r="9" spans="1:47" x14ac:dyDescent="0.35">
      <c r="A9" t="s">
        <v>75</v>
      </c>
      <c r="B9" t="s">
        <v>76</v>
      </c>
      <c r="D9" t="s">
        <v>77</v>
      </c>
      <c r="E9" t="str">
        <f t="shared" si="0"/>
        <v>3120124003</v>
      </c>
      <c r="F9">
        <f t="shared" si="1"/>
        <v>8.5</v>
      </c>
      <c r="G9" t="s">
        <v>54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50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50</v>
      </c>
      <c r="AJ9" t="s">
        <v>49</v>
      </c>
      <c r="AK9" t="s">
        <v>49</v>
      </c>
      <c r="AL9" t="s">
        <v>50</v>
      </c>
      <c r="AM9" t="s">
        <v>49</v>
      </c>
      <c r="AN9" t="s">
        <v>49</v>
      </c>
      <c r="AO9" t="s">
        <v>50</v>
      </c>
      <c r="AP9" t="s">
        <v>50</v>
      </c>
      <c r="AQ9" t="s">
        <v>50</v>
      </c>
      <c r="AR9" t="s">
        <v>49</v>
      </c>
      <c r="AS9" t="s">
        <v>49</v>
      </c>
      <c r="AT9" t="s">
        <v>49</v>
      </c>
      <c r="AU9" t="s">
        <v>49</v>
      </c>
    </row>
    <row r="10" spans="1:47" x14ac:dyDescent="0.35">
      <c r="A10" t="s">
        <v>78</v>
      </c>
      <c r="B10" t="s">
        <v>79</v>
      </c>
      <c r="D10" t="s">
        <v>80</v>
      </c>
      <c r="E10" t="str">
        <f t="shared" si="0"/>
        <v>3120124030</v>
      </c>
      <c r="F10">
        <f t="shared" si="1"/>
        <v>7.8</v>
      </c>
      <c r="G10" t="s">
        <v>67</v>
      </c>
      <c r="H10" t="s">
        <v>49</v>
      </c>
      <c r="I10" t="s">
        <v>63</v>
      </c>
      <c r="J10" t="s">
        <v>49</v>
      </c>
      <c r="K10" t="s">
        <v>49</v>
      </c>
      <c r="L10" t="s">
        <v>49</v>
      </c>
      <c r="M10" t="s">
        <v>63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50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50</v>
      </c>
      <c r="AC10" t="s">
        <v>49</v>
      </c>
      <c r="AD10" t="s">
        <v>49</v>
      </c>
      <c r="AE10" t="s">
        <v>49</v>
      </c>
      <c r="AF10" t="s">
        <v>50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50</v>
      </c>
      <c r="AQ10" t="s">
        <v>49</v>
      </c>
      <c r="AR10" t="s">
        <v>63</v>
      </c>
      <c r="AS10" t="s">
        <v>49</v>
      </c>
      <c r="AT10" t="s">
        <v>63</v>
      </c>
      <c r="AU10" t="s">
        <v>50</v>
      </c>
    </row>
    <row r="11" spans="1:47" x14ac:dyDescent="0.35">
      <c r="A11" t="s">
        <v>81</v>
      </c>
      <c r="B11" t="s">
        <v>82</v>
      </c>
      <c r="D11" t="s">
        <v>83</v>
      </c>
      <c r="E11" t="str">
        <f t="shared" si="0"/>
        <v>3120124039</v>
      </c>
      <c r="F11">
        <f t="shared" si="1"/>
        <v>8</v>
      </c>
      <c r="G11" t="s">
        <v>62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50</v>
      </c>
      <c r="W11" t="s">
        <v>49</v>
      </c>
      <c r="X11" t="s">
        <v>49</v>
      </c>
      <c r="Y11" t="s">
        <v>50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50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50</v>
      </c>
      <c r="AM11" t="s">
        <v>49</v>
      </c>
      <c r="AN11" t="s">
        <v>49</v>
      </c>
      <c r="AO11" t="s">
        <v>49</v>
      </c>
      <c r="AP11" t="s">
        <v>50</v>
      </c>
      <c r="AQ11" t="s">
        <v>50</v>
      </c>
      <c r="AR11" t="s">
        <v>49</v>
      </c>
      <c r="AS11" t="s">
        <v>50</v>
      </c>
      <c r="AT11" t="s">
        <v>50</v>
      </c>
      <c r="AU11" t="s">
        <v>49</v>
      </c>
    </row>
    <row r="12" spans="1:47" x14ac:dyDescent="0.35">
      <c r="A12" t="s">
        <v>84</v>
      </c>
      <c r="B12" t="s">
        <v>85</v>
      </c>
      <c r="D12" t="s">
        <v>86</v>
      </c>
      <c r="E12" t="str">
        <f t="shared" si="0"/>
        <v>3120124009</v>
      </c>
      <c r="F12">
        <f t="shared" si="1"/>
        <v>7.3</v>
      </c>
      <c r="G12" t="s">
        <v>87</v>
      </c>
      <c r="H12" t="s">
        <v>49</v>
      </c>
      <c r="I12" t="s">
        <v>50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50</v>
      </c>
      <c r="Z12" t="s">
        <v>49</v>
      </c>
      <c r="AA12" t="s">
        <v>50</v>
      </c>
      <c r="AB12" t="s">
        <v>50</v>
      </c>
      <c r="AC12" t="s">
        <v>49</v>
      </c>
      <c r="AD12" t="s">
        <v>50</v>
      </c>
      <c r="AE12" t="s">
        <v>49</v>
      </c>
      <c r="AF12" t="s">
        <v>50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50</v>
      </c>
      <c r="AN12" t="s">
        <v>50</v>
      </c>
      <c r="AO12" t="s">
        <v>49</v>
      </c>
      <c r="AP12" t="s">
        <v>50</v>
      </c>
      <c r="AQ12" t="s">
        <v>50</v>
      </c>
      <c r="AR12" t="s">
        <v>49</v>
      </c>
      <c r="AS12" t="s">
        <v>50</v>
      </c>
      <c r="AT12" t="s">
        <v>49</v>
      </c>
      <c r="AU12" t="s">
        <v>49</v>
      </c>
    </row>
    <row r="13" spans="1:47" x14ac:dyDescent="0.35">
      <c r="A13" t="s">
        <v>51</v>
      </c>
      <c r="B13" t="s">
        <v>88</v>
      </c>
      <c r="D13" t="s">
        <v>89</v>
      </c>
      <c r="E13" t="str">
        <f t="shared" si="0"/>
        <v>3120124022</v>
      </c>
      <c r="F13">
        <f t="shared" si="1"/>
        <v>7.5</v>
      </c>
      <c r="G13" t="s">
        <v>90</v>
      </c>
      <c r="H13" t="s">
        <v>49</v>
      </c>
      <c r="I13" t="s">
        <v>49</v>
      </c>
      <c r="J13" t="s">
        <v>50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50</v>
      </c>
      <c r="R13" t="s">
        <v>50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50</v>
      </c>
      <c r="AB13" t="s">
        <v>49</v>
      </c>
      <c r="AC13" t="s">
        <v>49</v>
      </c>
      <c r="AD13" t="s">
        <v>50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50</v>
      </c>
      <c r="AM13" t="s">
        <v>49</v>
      </c>
      <c r="AN13" t="s">
        <v>63</v>
      </c>
      <c r="AO13" t="s">
        <v>49</v>
      </c>
      <c r="AP13" t="s">
        <v>63</v>
      </c>
      <c r="AQ13" t="s">
        <v>63</v>
      </c>
      <c r="AR13" t="s">
        <v>49</v>
      </c>
      <c r="AS13" t="s">
        <v>49</v>
      </c>
      <c r="AT13" t="s">
        <v>49</v>
      </c>
      <c r="AU13" t="s">
        <v>50</v>
      </c>
    </row>
    <row r="14" spans="1:47" x14ac:dyDescent="0.35">
      <c r="A14" t="s">
        <v>91</v>
      </c>
      <c r="B14" t="s">
        <v>92</v>
      </c>
      <c r="D14" t="s">
        <v>93</v>
      </c>
      <c r="E14" t="str">
        <f t="shared" si="0"/>
        <v>3120124001</v>
      </c>
      <c r="F14">
        <f t="shared" si="1"/>
        <v>6.8</v>
      </c>
      <c r="G14" t="s">
        <v>94</v>
      </c>
      <c r="H14" t="s">
        <v>50</v>
      </c>
      <c r="I14" t="s">
        <v>49</v>
      </c>
      <c r="J14" t="s">
        <v>49</v>
      </c>
      <c r="K14" t="s">
        <v>50</v>
      </c>
      <c r="L14" t="s">
        <v>50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50</v>
      </c>
      <c r="T14" t="s">
        <v>50</v>
      </c>
      <c r="U14" t="s">
        <v>50</v>
      </c>
      <c r="V14" t="s">
        <v>50</v>
      </c>
      <c r="W14" t="s">
        <v>49</v>
      </c>
      <c r="X14" t="s">
        <v>49</v>
      </c>
      <c r="Y14" t="s">
        <v>49</v>
      </c>
      <c r="Z14" t="s">
        <v>50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50</v>
      </c>
      <c r="AI14" t="s">
        <v>50</v>
      </c>
      <c r="AJ14" t="s">
        <v>49</v>
      </c>
      <c r="AK14" t="s">
        <v>49</v>
      </c>
      <c r="AL14" t="s">
        <v>49</v>
      </c>
      <c r="AM14" t="s">
        <v>50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50</v>
      </c>
      <c r="AT14" t="s">
        <v>50</v>
      </c>
      <c r="AU14" t="s">
        <v>49</v>
      </c>
    </row>
    <row r="15" spans="1:47" x14ac:dyDescent="0.35">
      <c r="A15" t="s">
        <v>95</v>
      </c>
      <c r="B15" t="s">
        <v>96</v>
      </c>
      <c r="D15" t="s">
        <v>97</v>
      </c>
      <c r="E15" t="str">
        <f t="shared" si="0"/>
        <v>3120124031</v>
      </c>
      <c r="F15">
        <f t="shared" si="1"/>
        <v>6.5</v>
      </c>
      <c r="G15" t="s">
        <v>98</v>
      </c>
      <c r="H15" t="s">
        <v>49</v>
      </c>
      <c r="I15" t="s">
        <v>49</v>
      </c>
      <c r="J15" t="s">
        <v>49</v>
      </c>
      <c r="K15" t="s">
        <v>63</v>
      </c>
      <c r="L15" t="s">
        <v>49</v>
      </c>
      <c r="M15" t="s">
        <v>49</v>
      </c>
      <c r="N15" t="s">
        <v>50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63</v>
      </c>
      <c r="V15" t="s">
        <v>49</v>
      </c>
      <c r="W15" t="s">
        <v>49</v>
      </c>
      <c r="X15" t="s">
        <v>49</v>
      </c>
      <c r="Y15" t="s">
        <v>50</v>
      </c>
      <c r="Z15" t="s">
        <v>63</v>
      </c>
      <c r="AA15" t="s">
        <v>63</v>
      </c>
      <c r="AB15" t="s">
        <v>50</v>
      </c>
      <c r="AC15" t="s">
        <v>49</v>
      </c>
      <c r="AD15" t="s">
        <v>49</v>
      </c>
      <c r="AE15" t="s">
        <v>63</v>
      </c>
      <c r="AF15" t="s">
        <v>50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63</v>
      </c>
      <c r="AM15" t="s">
        <v>49</v>
      </c>
      <c r="AN15" t="s">
        <v>63</v>
      </c>
      <c r="AO15" t="s">
        <v>50</v>
      </c>
      <c r="AP15" t="s">
        <v>49</v>
      </c>
      <c r="AQ15" t="s">
        <v>49</v>
      </c>
      <c r="AR15" t="s">
        <v>49</v>
      </c>
      <c r="AS15" t="s">
        <v>50</v>
      </c>
      <c r="AT15" t="s">
        <v>63</v>
      </c>
      <c r="AU15" t="s">
        <v>49</v>
      </c>
    </row>
    <row r="16" spans="1:47" x14ac:dyDescent="0.35">
      <c r="A16" t="s">
        <v>99</v>
      </c>
      <c r="B16" t="s">
        <v>100</v>
      </c>
      <c r="D16" t="s">
        <v>101</v>
      </c>
      <c r="E16" t="str">
        <f t="shared" si="0"/>
        <v>3120124025</v>
      </c>
      <c r="F16">
        <f t="shared" si="1"/>
        <v>5.3</v>
      </c>
      <c r="G16" t="s">
        <v>102</v>
      </c>
      <c r="H16" t="s">
        <v>49</v>
      </c>
      <c r="I16" t="s">
        <v>63</v>
      </c>
      <c r="J16" t="s">
        <v>49</v>
      </c>
      <c r="K16" t="s">
        <v>49</v>
      </c>
      <c r="L16" t="s">
        <v>49</v>
      </c>
      <c r="M16" t="s">
        <v>49</v>
      </c>
      <c r="N16" t="s">
        <v>50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50</v>
      </c>
      <c r="U16" t="s">
        <v>49</v>
      </c>
      <c r="V16" t="s">
        <v>49</v>
      </c>
      <c r="W16" t="s">
        <v>50</v>
      </c>
      <c r="X16" t="s">
        <v>63</v>
      </c>
      <c r="Y16" t="s">
        <v>50</v>
      </c>
      <c r="Z16" t="s">
        <v>50</v>
      </c>
      <c r="AA16" t="s">
        <v>49</v>
      </c>
      <c r="AB16" t="s">
        <v>50</v>
      </c>
      <c r="AC16" t="s">
        <v>50</v>
      </c>
      <c r="AD16" t="s">
        <v>49</v>
      </c>
      <c r="AE16" t="s">
        <v>49</v>
      </c>
      <c r="AF16" t="s">
        <v>49</v>
      </c>
      <c r="AG16" t="s">
        <v>49</v>
      </c>
      <c r="AH16" t="s">
        <v>63</v>
      </c>
      <c r="AI16" t="s">
        <v>63</v>
      </c>
      <c r="AJ16" t="s">
        <v>49</v>
      </c>
      <c r="AK16" t="s">
        <v>63</v>
      </c>
      <c r="AL16" t="s">
        <v>63</v>
      </c>
      <c r="AM16" t="s">
        <v>50</v>
      </c>
      <c r="AN16" t="s">
        <v>63</v>
      </c>
      <c r="AO16" t="s">
        <v>49</v>
      </c>
      <c r="AP16" t="s">
        <v>63</v>
      </c>
      <c r="AQ16" t="s">
        <v>49</v>
      </c>
      <c r="AR16" t="s">
        <v>50</v>
      </c>
      <c r="AS16" t="s">
        <v>50</v>
      </c>
      <c r="AT16" t="s">
        <v>63</v>
      </c>
      <c r="AU16" t="s">
        <v>49</v>
      </c>
    </row>
    <row r="17" spans="1:47" x14ac:dyDescent="0.35">
      <c r="A17" t="s">
        <v>99</v>
      </c>
      <c r="B17" t="s">
        <v>103</v>
      </c>
      <c r="D17" t="s">
        <v>104</v>
      </c>
      <c r="E17" t="str">
        <f t="shared" si="0"/>
        <v>3120124026</v>
      </c>
      <c r="F17">
        <f t="shared" si="1"/>
        <v>6.3</v>
      </c>
      <c r="G17" t="s">
        <v>105</v>
      </c>
      <c r="H17" t="s">
        <v>50</v>
      </c>
      <c r="I17" t="s">
        <v>50</v>
      </c>
      <c r="J17" t="s">
        <v>50</v>
      </c>
      <c r="K17" t="s">
        <v>49</v>
      </c>
      <c r="L17" t="s">
        <v>49</v>
      </c>
      <c r="M17" t="s">
        <v>50</v>
      </c>
      <c r="N17" t="s">
        <v>49</v>
      </c>
      <c r="O17" t="s">
        <v>49</v>
      </c>
      <c r="P17" t="s">
        <v>49</v>
      </c>
      <c r="Q17" t="s">
        <v>50</v>
      </c>
      <c r="R17" t="s">
        <v>49</v>
      </c>
      <c r="S17" t="s">
        <v>50</v>
      </c>
      <c r="T17" t="s">
        <v>49</v>
      </c>
      <c r="U17" t="s">
        <v>49</v>
      </c>
      <c r="V17" t="s">
        <v>49</v>
      </c>
      <c r="W17" t="s">
        <v>50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50</v>
      </c>
      <c r="AG17" t="s">
        <v>49</v>
      </c>
      <c r="AH17" t="s">
        <v>49</v>
      </c>
      <c r="AI17" t="s">
        <v>49</v>
      </c>
      <c r="AJ17" t="s">
        <v>50</v>
      </c>
      <c r="AK17" t="s">
        <v>49</v>
      </c>
      <c r="AL17" t="s">
        <v>50</v>
      </c>
      <c r="AM17" t="s">
        <v>49</v>
      </c>
      <c r="AN17" t="s">
        <v>49</v>
      </c>
      <c r="AO17" t="s">
        <v>50</v>
      </c>
      <c r="AP17" t="s">
        <v>50</v>
      </c>
      <c r="AQ17" t="s">
        <v>50</v>
      </c>
      <c r="AR17" t="s">
        <v>49</v>
      </c>
      <c r="AS17" t="s">
        <v>50</v>
      </c>
      <c r="AT17" t="s">
        <v>50</v>
      </c>
      <c r="AU17" t="s">
        <v>49</v>
      </c>
    </row>
    <row r="18" spans="1:47" x14ac:dyDescent="0.35">
      <c r="A18" t="s">
        <v>106</v>
      </c>
      <c r="B18" t="s">
        <v>107</v>
      </c>
      <c r="D18" t="s">
        <v>108</v>
      </c>
      <c r="E18" t="str">
        <f t="shared" si="0"/>
        <v>3120422007</v>
      </c>
      <c r="F18">
        <f t="shared" si="1"/>
        <v>5.3</v>
      </c>
      <c r="G18" t="s">
        <v>102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50</v>
      </c>
      <c r="N18" t="s">
        <v>49</v>
      </c>
      <c r="O18" t="s">
        <v>49</v>
      </c>
      <c r="P18" t="s">
        <v>50</v>
      </c>
      <c r="Q18" t="s">
        <v>50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49</v>
      </c>
      <c r="X18" t="s">
        <v>49</v>
      </c>
      <c r="Y18" t="s">
        <v>49</v>
      </c>
      <c r="Z18" t="s">
        <v>49</v>
      </c>
      <c r="AA18" t="s">
        <v>50</v>
      </c>
      <c r="AB18" t="s">
        <v>50</v>
      </c>
      <c r="AC18" t="s">
        <v>49</v>
      </c>
      <c r="AD18" t="s">
        <v>49</v>
      </c>
      <c r="AE18" t="s">
        <v>50</v>
      </c>
      <c r="AF18" t="s">
        <v>49</v>
      </c>
      <c r="AG18" t="s">
        <v>50</v>
      </c>
      <c r="AH18" t="s">
        <v>49</v>
      </c>
      <c r="AI18" t="s">
        <v>50</v>
      </c>
      <c r="AJ18" t="s">
        <v>50</v>
      </c>
      <c r="AK18" t="s">
        <v>49</v>
      </c>
      <c r="AL18" t="s">
        <v>50</v>
      </c>
      <c r="AM18" t="s">
        <v>50</v>
      </c>
      <c r="AN18" t="s">
        <v>50</v>
      </c>
      <c r="AO18" t="s">
        <v>49</v>
      </c>
      <c r="AP18" t="s">
        <v>49</v>
      </c>
      <c r="AQ18" t="s">
        <v>50</v>
      </c>
      <c r="AR18" t="s">
        <v>50</v>
      </c>
      <c r="AS18" t="s">
        <v>50</v>
      </c>
      <c r="AT18" t="s">
        <v>50</v>
      </c>
      <c r="AU18" t="s">
        <v>50</v>
      </c>
    </row>
    <row r="19" spans="1:47" x14ac:dyDescent="0.35">
      <c r="A19" t="s">
        <v>109</v>
      </c>
      <c r="B19" t="s">
        <v>110</v>
      </c>
      <c r="D19" t="s">
        <v>111</v>
      </c>
      <c r="E19" t="str">
        <f t="shared" si="0"/>
        <v>3120124019</v>
      </c>
      <c r="F19">
        <f t="shared" si="1"/>
        <v>8</v>
      </c>
      <c r="G19" t="s">
        <v>62</v>
      </c>
      <c r="H19" t="s">
        <v>49</v>
      </c>
      <c r="I19" t="s">
        <v>50</v>
      </c>
      <c r="J19" t="s">
        <v>49</v>
      </c>
      <c r="K19" t="s">
        <v>50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50</v>
      </c>
      <c r="AA19" t="s">
        <v>49</v>
      </c>
      <c r="AB19" t="s">
        <v>49</v>
      </c>
      <c r="AC19" t="s">
        <v>49</v>
      </c>
      <c r="AD19" t="s">
        <v>49</v>
      </c>
      <c r="AE19" t="s">
        <v>50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50</v>
      </c>
      <c r="AP19" t="s">
        <v>50</v>
      </c>
      <c r="AQ19" t="s">
        <v>49</v>
      </c>
      <c r="AR19" t="s">
        <v>50</v>
      </c>
      <c r="AS19" t="s">
        <v>49</v>
      </c>
      <c r="AT19" t="s">
        <v>50</v>
      </c>
      <c r="AU19" t="s">
        <v>49</v>
      </c>
    </row>
    <row r="20" spans="1:47" x14ac:dyDescent="0.35">
      <c r="A20" t="s">
        <v>112</v>
      </c>
      <c r="B20" t="s">
        <v>113</v>
      </c>
      <c r="D20" t="s">
        <v>114</v>
      </c>
      <c r="E20" t="str">
        <f t="shared" si="0"/>
        <v>3120124024</v>
      </c>
      <c r="F20">
        <f t="shared" si="1"/>
        <v>7</v>
      </c>
      <c r="G20" t="s">
        <v>115</v>
      </c>
      <c r="H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50</v>
      </c>
      <c r="N20" t="s">
        <v>49</v>
      </c>
      <c r="O20" t="s">
        <v>49</v>
      </c>
      <c r="P20" t="s">
        <v>50</v>
      </c>
      <c r="Q20" t="s">
        <v>50</v>
      </c>
      <c r="R20" t="s">
        <v>50</v>
      </c>
      <c r="S20" t="s">
        <v>49</v>
      </c>
      <c r="T20" t="s">
        <v>49</v>
      </c>
      <c r="U20" t="s">
        <v>49</v>
      </c>
      <c r="V20" t="s">
        <v>50</v>
      </c>
      <c r="W20" t="s">
        <v>50</v>
      </c>
      <c r="X20" t="s">
        <v>50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50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50</v>
      </c>
      <c r="AO20" t="s">
        <v>50</v>
      </c>
      <c r="AP20" t="s">
        <v>50</v>
      </c>
      <c r="AQ20" t="s">
        <v>49</v>
      </c>
      <c r="AR20" t="s">
        <v>49</v>
      </c>
      <c r="AS20" t="s">
        <v>50</v>
      </c>
      <c r="AT20" t="s">
        <v>49</v>
      </c>
      <c r="AU20" t="s">
        <v>49</v>
      </c>
    </row>
    <row r="21" spans="1:47" x14ac:dyDescent="0.35">
      <c r="A21" t="s">
        <v>51</v>
      </c>
      <c r="B21" t="s">
        <v>116</v>
      </c>
      <c r="D21" t="s">
        <v>117</v>
      </c>
      <c r="E21" t="str">
        <f t="shared" si="0"/>
        <v>3120124023</v>
      </c>
      <c r="F21">
        <f t="shared" si="1"/>
        <v>8</v>
      </c>
      <c r="G21" t="s">
        <v>62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50</v>
      </c>
      <c r="N21" t="s">
        <v>49</v>
      </c>
      <c r="O21" t="s">
        <v>50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50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50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50</v>
      </c>
      <c r="AM21" t="s">
        <v>49</v>
      </c>
      <c r="AN21" t="s">
        <v>49</v>
      </c>
      <c r="AO21" t="s">
        <v>50</v>
      </c>
      <c r="AP21" t="s">
        <v>50</v>
      </c>
      <c r="AQ21" t="s">
        <v>49</v>
      </c>
      <c r="AR21" t="s">
        <v>49</v>
      </c>
      <c r="AS21" t="s">
        <v>49</v>
      </c>
      <c r="AT21" t="s">
        <v>50</v>
      </c>
      <c r="AU21" t="s">
        <v>49</v>
      </c>
    </row>
    <row r="22" spans="1:47" x14ac:dyDescent="0.35">
      <c r="A22" t="s">
        <v>118</v>
      </c>
      <c r="B22" t="s">
        <v>119</v>
      </c>
      <c r="D22" t="s">
        <v>120</v>
      </c>
      <c r="E22" t="str">
        <f t="shared" si="0"/>
        <v>3120124029</v>
      </c>
      <c r="F22">
        <f t="shared" si="1"/>
        <v>8</v>
      </c>
      <c r="G22" t="s">
        <v>62</v>
      </c>
      <c r="H22" t="s">
        <v>49</v>
      </c>
      <c r="I22" t="s">
        <v>49</v>
      </c>
      <c r="J22" t="s">
        <v>49</v>
      </c>
      <c r="K22" t="s">
        <v>63</v>
      </c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50</v>
      </c>
      <c r="Z22" t="s">
        <v>49</v>
      </c>
      <c r="AA22" t="s">
        <v>49</v>
      </c>
      <c r="AB22" t="s">
        <v>49</v>
      </c>
      <c r="AC22" t="s">
        <v>63</v>
      </c>
      <c r="AD22" t="s">
        <v>49</v>
      </c>
      <c r="AE22" t="s">
        <v>49</v>
      </c>
      <c r="AF22" t="s">
        <v>50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50</v>
      </c>
      <c r="AN22" t="s">
        <v>50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50</v>
      </c>
      <c r="AU22" t="s">
        <v>50</v>
      </c>
    </row>
    <row r="23" spans="1:47" x14ac:dyDescent="0.35">
      <c r="A23" t="s">
        <v>121</v>
      </c>
      <c r="B23" t="s">
        <v>122</v>
      </c>
      <c r="D23" t="s">
        <v>123</v>
      </c>
      <c r="E23" t="str">
        <f t="shared" si="0"/>
        <v>3120124033</v>
      </c>
      <c r="F23">
        <f t="shared" si="1"/>
        <v>8.5</v>
      </c>
      <c r="G23" t="s">
        <v>54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49</v>
      </c>
      <c r="N23" t="s">
        <v>49</v>
      </c>
      <c r="O23" t="s">
        <v>49</v>
      </c>
      <c r="P23" t="s">
        <v>50</v>
      </c>
      <c r="Q23" t="s">
        <v>49</v>
      </c>
      <c r="R23" t="s">
        <v>49</v>
      </c>
      <c r="S23" t="s">
        <v>49</v>
      </c>
      <c r="T23" t="s">
        <v>50</v>
      </c>
      <c r="U23" t="s">
        <v>49</v>
      </c>
      <c r="V23" t="s">
        <v>49</v>
      </c>
      <c r="W23" t="s">
        <v>50</v>
      </c>
      <c r="X23" t="s">
        <v>49</v>
      </c>
      <c r="Y23" t="s">
        <v>50</v>
      </c>
      <c r="Z23" t="s">
        <v>49</v>
      </c>
      <c r="AA23" t="s">
        <v>50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50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  <c r="AU23" t="s">
        <v>49</v>
      </c>
    </row>
    <row r="24" spans="1:47" x14ac:dyDescent="0.35">
      <c r="A24" t="s">
        <v>75</v>
      </c>
      <c r="B24" t="s">
        <v>124</v>
      </c>
      <c r="D24" t="s">
        <v>125</v>
      </c>
      <c r="E24" t="str">
        <f t="shared" si="0"/>
        <v>3120124004</v>
      </c>
      <c r="F24">
        <f t="shared" si="1"/>
        <v>7.5</v>
      </c>
      <c r="G24" t="s">
        <v>90</v>
      </c>
      <c r="H24" t="s">
        <v>50</v>
      </c>
      <c r="I24" t="s">
        <v>49</v>
      </c>
      <c r="J24" t="s">
        <v>49</v>
      </c>
      <c r="K24" t="s">
        <v>50</v>
      </c>
      <c r="L24" t="s">
        <v>49</v>
      </c>
      <c r="M24" t="s">
        <v>49</v>
      </c>
      <c r="N24" t="s">
        <v>49</v>
      </c>
      <c r="O24" t="s">
        <v>50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50</v>
      </c>
      <c r="AE24" t="s">
        <v>50</v>
      </c>
      <c r="AF24" t="s">
        <v>49</v>
      </c>
      <c r="AG24" t="s">
        <v>49</v>
      </c>
      <c r="AH24" t="s">
        <v>49</v>
      </c>
      <c r="AI24" t="s">
        <v>50</v>
      </c>
      <c r="AJ24" t="s">
        <v>49</v>
      </c>
      <c r="AK24" t="s">
        <v>49</v>
      </c>
      <c r="AL24" t="s">
        <v>49</v>
      </c>
      <c r="AM24" t="s">
        <v>50</v>
      </c>
      <c r="AN24" t="s">
        <v>49</v>
      </c>
      <c r="AO24" t="s">
        <v>49</v>
      </c>
      <c r="AP24" t="s">
        <v>49</v>
      </c>
      <c r="AQ24" t="s">
        <v>49</v>
      </c>
      <c r="AR24" t="s">
        <v>50</v>
      </c>
      <c r="AS24" t="s">
        <v>50</v>
      </c>
      <c r="AT24" t="s">
        <v>50</v>
      </c>
      <c r="AU24" t="s">
        <v>49</v>
      </c>
    </row>
    <row r="25" spans="1:47" x14ac:dyDescent="0.35">
      <c r="A25" t="s">
        <v>126</v>
      </c>
      <c r="B25" t="s">
        <v>127</v>
      </c>
      <c r="D25" t="s">
        <v>128</v>
      </c>
      <c r="E25" t="str">
        <f t="shared" si="0"/>
        <v>3120124014</v>
      </c>
      <c r="F25">
        <f t="shared" si="1"/>
        <v>8.5</v>
      </c>
      <c r="G25" t="s">
        <v>54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50</v>
      </c>
      <c r="T25" t="s">
        <v>49</v>
      </c>
      <c r="U25" t="s">
        <v>49</v>
      </c>
      <c r="V25" t="s">
        <v>50</v>
      </c>
      <c r="W25" t="s">
        <v>49</v>
      </c>
      <c r="X25" t="s">
        <v>49</v>
      </c>
      <c r="Y25" t="s">
        <v>49</v>
      </c>
      <c r="Z25" t="s">
        <v>49</v>
      </c>
      <c r="AA25" t="s">
        <v>50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50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50</v>
      </c>
      <c r="AS25" t="s">
        <v>49</v>
      </c>
      <c r="AT25" t="s">
        <v>50</v>
      </c>
      <c r="AU25" t="s">
        <v>49</v>
      </c>
    </row>
    <row r="26" spans="1:47" x14ac:dyDescent="0.35">
      <c r="A26" t="s">
        <v>129</v>
      </c>
      <c r="B26" t="s">
        <v>130</v>
      </c>
      <c r="D26" t="s">
        <v>131</v>
      </c>
      <c r="E26" t="str">
        <f t="shared" si="0"/>
        <v>3120124036</v>
      </c>
      <c r="F26">
        <f t="shared" si="1"/>
        <v>8.5</v>
      </c>
      <c r="G26" t="s">
        <v>54</v>
      </c>
      <c r="H26" t="s">
        <v>49</v>
      </c>
      <c r="I26" t="s">
        <v>49</v>
      </c>
      <c r="J26" t="s">
        <v>49</v>
      </c>
      <c r="K26" t="s">
        <v>49</v>
      </c>
      <c r="L26" t="s">
        <v>49</v>
      </c>
      <c r="M26" t="s">
        <v>50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63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50</v>
      </c>
      <c r="AF26" t="s">
        <v>49</v>
      </c>
      <c r="AG26" t="s">
        <v>49</v>
      </c>
      <c r="AH26" t="s">
        <v>49</v>
      </c>
      <c r="AI26" t="s">
        <v>50</v>
      </c>
      <c r="AJ26" t="s">
        <v>50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50</v>
      </c>
      <c r="AQ26" t="s">
        <v>49</v>
      </c>
      <c r="AR26" t="s">
        <v>49</v>
      </c>
      <c r="AS26" t="s">
        <v>49</v>
      </c>
      <c r="AT26" t="s">
        <v>49</v>
      </c>
      <c r="AU26" t="s">
        <v>49</v>
      </c>
    </row>
    <row r="27" spans="1:47" x14ac:dyDescent="0.35">
      <c r="A27" t="s">
        <v>132</v>
      </c>
      <c r="B27" t="s">
        <v>133</v>
      </c>
      <c r="D27" t="s">
        <v>134</v>
      </c>
      <c r="E27" t="str">
        <f t="shared" si="0"/>
        <v>3120124006</v>
      </c>
      <c r="F27">
        <f t="shared" si="1"/>
        <v>7.5</v>
      </c>
      <c r="G27" t="s">
        <v>90</v>
      </c>
      <c r="H27" t="s">
        <v>50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63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50</v>
      </c>
      <c r="AA27" t="s">
        <v>63</v>
      </c>
      <c r="AB27" t="s">
        <v>49</v>
      </c>
      <c r="AC27" t="s">
        <v>50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63</v>
      </c>
      <c r="AQ27" t="s">
        <v>50</v>
      </c>
      <c r="AR27" t="s">
        <v>50</v>
      </c>
      <c r="AS27" t="s">
        <v>50</v>
      </c>
      <c r="AT27" t="s">
        <v>49</v>
      </c>
      <c r="AU27" t="s">
        <v>50</v>
      </c>
    </row>
    <row r="28" spans="1:47" x14ac:dyDescent="0.35">
      <c r="A28" t="s">
        <v>75</v>
      </c>
      <c r="B28" t="s">
        <v>135</v>
      </c>
      <c r="D28" t="s">
        <v>136</v>
      </c>
      <c r="E28" t="str">
        <f t="shared" si="0"/>
        <v>3120124005</v>
      </c>
      <c r="F28">
        <f t="shared" si="1"/>
        <v>8.5</v>
      </c>
      <c r="G28" t="s">
        <v>54</v>
      </c>
      <c r="H28" t="s">
        <v>49</v>
      </c>
      <c r="I28" t="s">
        <v>49</v>
      </c>
      <c r="J28" t="s">
        <v>49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  <c r="AB28" t="s">
        <v>63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50</v>
      </c>
      <c r="AK28" t="s">
        <v>50</v>
      </c>
      <c r="AL28" t="s">
        <v>49</v>
      </c>
      <c r="AM28" t="s">
        <v>49</v>
      </c>
      <c r="AN28" t="s">
        <v>49</v>
      </c>
      <c r="AO28" t="s">
        <v>63</v>
      </c>
      <c r="AP28" t="s">
        <v>49</v>
      </c>
      <c r="AQ28" t="s">
        <v>49</v>
      </c>
      <c r="AR28" t="s">
        <v>49</v>
      </c>
      <c r="AS28" t="s">
        <v>63</v>
      </c>
      <c r="AT28" t="s">
        <v>50</v>
      </c>
      <c r="AU28" t="s">
        <v>49</v>
      </c>
    </row>
    <row r="29" spans="1:47" x14ac:dyDescent="0.35">
      <c r="A29" t="s">
        <v>137</v>
      </c>
      <c r="B29" t="s">
        <v>138</v>
      </c>
      <c r="D29" t="s">
        <v>139</v>
      </c>
      <c r="E29" t="str">
        <f t="shared" si="0"/>
        <v>3120124017</v>
      </c>
      <c r="F29">
        <f t="shared" si="1"/>
        <v>6.3</v>
      </c>
      <c r="G29" t="s">
        <v>105</v>
      </c>
      <c r="H29" t="s">
        <v>49</v>
      </c>
      <c r="I29" t="s">
        <v>50</v>
      </c>
      <c r="J29" t="s">
        <v>49</v>
      </c>
      <c r="K29" t="s">
        <v>49</v>
      </c>
      <c r="L29" t="s">
        <v>49</v>
      </c>
      <c r="M29" t="s">
        <v>49</v>
      </c>
      <c r="N29" t="s">
        <v>49</v>
      </c>
      <c r="O29" t="s">
        <v>63</v>
      </c>
      <c r="P29" t="s">
        <v>49</v>
      </c>
      <c r="Q29" t="s">
        <v>49</v>
      </c>
      <c r="R29" t="s">
        <v>49</v>
      </c>
      <c r="S29" t="s">
        <v>49</v>
      </c>
      <c r="T29" t="s">
        <v>50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50</v>
      </c>
      <c r="AA29" t="s">
        <v>49</v>
      </c>
      <c r="AB29" t="s">
        <v>50</v>
      </c>
      <c r="AC29" t="s">
        <v>49</v>
      </c>
      <c r="AD29" t="s">
        <v>50</v>
      </c>
      <c r="AE29" t="s">
        <v>50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50</v>
      </c>
      <c r="AL29" t="s">
        <v>50</v>
      </c>
      <c r="AM29" t="s">
        <v>49</v>
      </c>
      <c r="AN29" t="s">
        <v>49</v>
      </c>
      <c r="AO29" t="s">
        <v>50</v>
      </c>
      <c r="AP29" t="s">
        <v>63</v>
      </c>
      <c r="AQ29" t="s">
        <v>50</v>
      </c>
      <c r="AR29" t="s">
        <v>50</v>
      </c>
      <c r="AS29" t="s">
        <v>49</v>
      </c>
      <c r="AT29" t="s">
        <v>50</v>
      </c>
      <c r="AU29" t="s">
        <v>50</v>
      </c>
    </row>
    <row r="30" spans="1:47" x14ac:dyDescent="0.35">
      <c r="A30" t="s">
        <v>140</v>
      </c>
      <c r="B30" t="s">
        <v>141</v>
      </c>
      <c r="D30" t="s">
        <v>142</v>
      </c>
      <c r="E30" t="str">
        <f t="shared" si="0"/>
        <v>3120124027</v>
      </c>
      <c r="F30">
        <f t="shared" si="1"/>
        <v>6.3</v>
      </c>
      <c r="G30" t="s">
        <v>105</v>
      </c>
      <c r="H30" t="s">
        <v>49</v>
      </c>
      <c r="I30" t="s">
        <v>49</v>
      </c>
      <c r="J30" t="s">
        <v>49</v>
      </c>
      <c r="K30" t="s">
        <v>49</v>
      </c>
      <c r="L30" t="s">
        <v>49</v>
      </c>
      <c r="M30" t="s">
        <v>50</v>
      </c>
      <c r="N30" t="s">
        <v>49</v>
      </c>
      <c r="O30" t="s">
        <v>49</v>
      </c>
      <c r="P30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50</v>
      </c>
      <c r="W30" t="s">
        <v>49</v>
      </c>
      <c r="X30" t="s">
        <v>49</v>
      </c>
      <c r="Y30" t="s">
        <v>50</v>
      </c>
      <c r="Z30" t="s">
        <v>49</v>
      </c>
      <c r="AA30" t="s">
        <v>50</v>
      </c>
      <c r="AB30" t="s">
        <v>49</v>
      </c>
      <c r="AC30" t="s">
        <v>49</v>
      </c>
      <c r="AD30" t="s">
        <v>50</v>
      </c>
      <c r="AE30" t="s">
        <v>49</v>
      </c>
      <c r="AF30" t="s">
        <v>50</v>
      </c>
      <c r="AG30" t="s">
        <v>49</v>
      </c>
      <c r="AH30" t="s">
        <v>49</v>
      </c>
      <c r="AI30" t="s">
        <v>50</v>
      </c>
      <c r="AJ30" t="s">
        <v>49</v>
      </c>
      <c r="AK30" t="s">
        <v>49</v>
      </c>
      <c r="AL30" t="s">
        <v>49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49</v>
      </c>
      <c r="AS30" t="s">
        <v>50</v>
      </c>
      <c r="AT30" t="s">
        <v>49</v>
      </c>
      <c r="AU30" t="s">
        <v>50</v>
      </c>
    </row>
    <row r="31" spans="1:47" x14ac:dyDescent="0.35">
      <c r="A31" t="s">
        <v>143</v>
      </c>
      <c r="B31" t="s">
        <v>144</v>
      </c>
      <c r="D31" t="s">
        <v>145</v>
      </c>
      <c r="E31" t="str">
        <f t="shared" si="0"/>
        <v>3120124016</v>
      </c>
      <c r="F31">
        <f t="shared" si="1"/>
        <v>8.7999999999999989</v>
      </c>
      <c r="G31" t="s">
        <v>48</v>
      </c>
      <c r="H31" t="s">
        <v>49</v>
      </c>
      <c r="I31" t="s">
        <v>49</v>
      </c>
      <c r="J31" t="s">
        <v>49</v>
      </c>
      <c r="K31" t="s">
        <v>49</v>
      </c>
      <c r="L31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50</v>
      </c>
      <c r="AG31" t="s">
        <v>49</v>
      </c>
      <c r="AH31" t="s">
        <v>49</v>
      </c>
      <c r="AI31" t="s">
        <v>50</v>
      </c>
      <c r="AJ31" t="s">
        <v>49</v>
      </c>
      <c r="AK31" t="s">
        <v>49</v>
      </c>
      <c r="AL31" t="s">
        <v>50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  <c r="AR31" t="s">
        <v>50</v>
      </c>
      <c r="AS31" t="s">
        <v>49</v>
      </c>
      <c r="AT31" t="s">
        <v>49</v>
      </c>
      <c r="AU31" t="s">
        <v>50</v>
      </c>
    </row>
    <row r="32" spans="1:47" x14ac:dyDescent="0.35">
      <c r="A32" t="s">
        <v>146</v>
      </c>
      <c r="B32" t="s">
        <v>147</v>
      </c>
      <c r="D32" t="s">
        <v>148</v>
      </c>
      <c r="E32" t="str">
        <f t="shared" si="0"/>
        <v>3120124037</v>
      </c>
      <c r="F32">
        <f t="shared" si="1"/>
        <v>8.2999999999999989</v>
      </c>
      <c r="G32" t="s">
        <v>70</v>
      </c>
      <c r="H32" t="s">
        <v>49</v>
      </c>
      <c r="I32" t="s">
        <v>49</v>
      </c>
      <c r="J32" t="s">
        <v>49</v>
      </c>
      <c r="K32" t="s">
        <v>49</v>
      </c>
      <c r="L32" t="s">
        <v>49</v>
      </c>
      <c r="M32" t="s">
        <v>49</v>
      </c>
      <c r="N32" t="s">
        <v>49</v>
      </c>
      <c r="O32" t="s">
        <v>49</v>
      </c>
      <c r="P32" t="s">
        <v>49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50</v>
      </c>
      <c r="Y32" t="s">
        <v>49</v>
      </c>
      <c r="Z32" t="s">
        <v>50</v>
      </c>
      <c r="AA32" t="s">
        <v>49</v>
      </c>
      <c r="AB32" t="s">
        <v>49</v>
      </c>
      <c r="AC32" t="s">
        <v>49</v>
      </c>
      <c r="AD32" t="s">
        <v>49</v>
      </c>
      <c r="AE32" t="s">
        <v>50</v>
      </c>
      <c r="AF32" t="s">
        <v>49</v>
      </c>
      <c r="AG32" t="s">
        <v>49</v>
      </c>
      <c r="AH32" t="s">
        <v>50</v>
      </c>
      <c r="AI32" t="s">
        <v>49</v>
      </c>
      <c r="AJ32" t="s">
        <v>49</v>
      </c>
      <c r="AK32" t="s">
        <v>50</v>
      </c>
      <c r="AL32" t="s">
        <v>50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  <c r="AR32" t="s">
        <v>49</v>
      </c>
      <c r="AS32" t="s">
        <v>49</v>
      </c>
      <c r="AT32" t="s">
        <v>50</v>
      </c>
      <c r="AU32" t="s">
        <v>49</v>
      </c>
    </row>
    <row r="33" spans="1:47" x14ac:dyDescent="0.35">
      <c r="A33" t="s">
        <v>149</v>
      </c>
      <c r="B33" t="s">
        <v>150</v>
      </c>
      <c r="D33" t="s">
        <v>151</v>
      </c>
      <c r="E33" t="str">
        <f t="shared" si="0"/>
        <v>3120124032</v>
      </c>
      <c r="F33">
        <f t="shared" si="1"/>
        <v>7.8</v>
      </c>
      <c r="G33" t="s">
        <v>67</v>
      </c>
      <c r="H33" t="s">
        <v>49</v>
      </c>
      <c r="I33" t="s">
        <v>49</v>
      </c>
      <c r="J33" t="s">
        <v>49</v>
      </c>
      <c r="K33" t="s">
        <v>49</v>
      </c>
      <c r="L33" t="s">
        <v>49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50</v>
      </c>
      <c r="S33" t="s">
        <v>49</v>
      </c>
      <c r="T33" t="s">
        <v>49</v>
      </c>
      <c r="U33" t="s">
        <v>50</v>
      </c>
      <c r="V33" t="s">
        <v>50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50</v>
      </c>
      <c r="AE33" t="s">
        <v>49</v>
      </c>
      <c r="AF33" t="s">
        <v>49</v>
      </c>
      <c r="AG33" t="s">
        <v>49</v>
      </c>
      <c r="AH33" t="s">
        <v>49</v>
      </c>
      <c r="AI33" t="s">
        <v>50</v>
      </c>
      <c r="AJ33" t="s">
        <v>49</v>
      </c>
      <c r="AK33" t="s">
        <v>50</v>
      </c>
      <c r="AL33" t="s">
        <v>49</v>
      </c>
      <c r="AM33" t="s">
        <v>49</v>
      </c>
      <c r="AN33" t="s">
        <v>49</v>
      </c>
      <c r="AO33" t="s">
        <v>50</v>
      </c>
      <c r="AP33" t="s">
        <v>49</v>
      </c>
      <c r="AQ33" t="s">
        <v>50</v>
      </c>
      <c r="AR33" t="s">
        <v>49</v>
      </c>
      <c r="AS33" t="s">
        <v>49</v>
      </c>
      <c r="AT33" t="s">
        <v>49</v>
      </c>
      <c r="AU33" t="s">
        <v>50</v>
      </c>
    </row>
    <row r="34" spans="1:47" x14ac:dyDescent="0.35">
      <c r="A34" t="s">
        <v>152</v>
      </c>
      <c r="B34" t="s">
        <v>153</v>
      </c>
      <c r="D34" t="s">
        <v>154</v>
      </c>
      <c r="E34" t="str">
        <f t="shared" si="0"/>
        <v>3120124038</v>
      </c>
      <c r="F34">
        <f t="shared" si="1"/>
        <v>7.8</v>
      </c>
      <c r="G34" t="s">
        <v>67</v>
      </c>
      <c r="H34" t="s">
        <v>50</v>
      </c>
      <c r="I34" t="s">
        <v>49</v>
      </c>
      <c r="J34" t="s">
        <v>49</v>
      </c>
      <c r="K34" t="s">
        <v>50</v>
      </c>
      <c r="L34" t="s">
        <v>49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50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50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50</v>
      </c>
      <c r="AM34" t="s">
        <v>50</v>
      </c>
      <c r="AN34" t="s">
        <v>49</v>
      </c>
      <c r="AO34" t="s">
        <v>49</v>
      </c>
      <c r="AP34" t="s">
        <v>49</v>
      </c>
      <c r="AQ34" t="s">
        <v>49</v>
      </c>
      <c r="AR34" t="s">
        <v>50</v>
      </c>
      <c r="AS34" t="s">
        <v>49</v>
      </c>
      <c r="AT34" t="s">
        <v>50</v>
      </c>
      <c r="AU34" t="s">
        <v>50</v>
      </c>
    </row>
    <row r="35" spans="1:47" x14ac:dyDescent="0.35">
      <c r="A35" t="s">
        <v>155</v>
      </c>
      <c r="B35" t="s">
        <v>156</v>
      </c>
      <c r="D35" t="s">
        <v>157</v>
      </c>
      <c r="E35" t="str">
        <f t="shared" si="0"/>
        <v>3120221441</v>
      </c>
      <c r="F35">
        <f t="shared" si="1"/>
        <v>7.3</v>
      </c>
      <c r="G35" t="s">
        <v>87</v>
      </c>
      <c r="H35" t="s">
        <v>49</v>
      </c>
      <c r="I35" t="s">
        <v>49</v>
      </c>
      <c r="J35" t="s">
        <v>49</v>
      </c>
      <c r="K35" t="s">
        <v>49</v>
      </c>
      <c r="L35" t="s">
        <v>49</v>
      </c>
      <c r="M35" t="s">
        <v>49</v>
      </c>
      <c r="N35" t="s">
        <v>49</v>
      </c>
      <c r="O35" t="s">
        <v>50</v>
      </c>
      <c r="P35" t="s">
        <v>49</v>
      </c>
      <c r="Q35" t="s">
        <v>49</v>
      </c>
      <c r="R35" t="s">
        <v>50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49</v>
      </c>
      <c r="AA35" t="s">
        <v>49</v>
      </c>
      <c r="AB35" t="s">
        <v>50</v>
      </c>
      <c r="AC35" t="s">
        <v>50</v>
      </c>
      <c r="AD35" t="s">
        <v>50</v>
      </c>
      <c r="AE35" t="s">
        <v>49</v>
      </c>
      <c r="AF35" t="s">
        <v>49</v>
      </c>
      <c r="AG35" t="s">
        <v>49</v>
      </c>
      <c r="AH35" t="s">
        <v>49</v>
      </c>
      <c r="AI35" t="s">
        <v>50</v>
      </c>
      <c r="AJ35" t="s">
        <v>49</v>
      </c>
      <c r="AK35" t="s">
        <v>50</v>
      </c>
      <c r="AL35" t="s">
        <v>50</v>
      </c>
      <c r="AM35" t="s">
        <v>50</v>
      </c>
      <c r="AN35" t="s">
        <v>49</v>
      </c>
      <c r="AO35" t="s">
        <v>49</v>
      </c>
      <c r="AP35" t="s">
        <v>49</v>
      </c>
      <c r="AQ35" t="s">
        <v>49</v>
      </c>
      <c r="AR35" t="s">
        <v>49</v>
      </c>
      <c r="AS35" t="s">
        <v>49</v>
      </c>
      <c r="AT35" t="s">
        <v>50</v>
      </c>
      <c r="AU35" t="s">
        <v>50</v>
      </c>
    </row>
    <row r="36" spans="1:47" x14ac:dyDescent="0.35">
      <c r="A36" t="s">
        <v>158</v>
      </c>
      <c r="B36" t="s">
        <v>159</v>
      </c>
      <c r="D36" t="s">
        <v>160</v>
      </c>
      <c r="E36" t="str">
        <f t="shared" si="0"/>
        <v>3120124040</v>
      </c>
      <c r="F36">
        <f t="shared" si="1"/>
        <v>8.5</v>
      </c>
      <c r="G36" t="s">
        <v>54</v>
      </c>
      <c r="H36" t="s">
        <v>49</v>
      </c>
      <c r="I36" t="s">
        <v>50</v>
      </c>
      <c r="J36" t="s">
        <v>49</v>
      </c>
      <c r="K36" t="s">
        <v>49</v>
      </c>
      <c r="L36" t="s">
        <v>49</v>
      </c>
      <c r="M36" t="s">
        <v>49</v>
      </c>
      <c r="N36" t="s">
        <v>49</v>
      </c>
      <c r="O36" t="s">
        <v>49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50</v>
      </c>
      <c r="AG36" t="s">
        <v>49</v>
      </c>
      <c r="AH36" t="s">
        <v>49</v>
      </c>
      <c r="AI36" t="s">
        <v>49</v>
      </c>
      <c r="AJ36" t="s">
        <v>49</v>
      </c>
      <c r="AK36" t="s">
        <v>50</v>
      </c>
      <c r="AL36" t="s">
        <v>49</v>
      </c>
      <c r="AM36" t="s">
        <v>50</v>
      </c>
      <c r="AN36" t="s">
        <v>50</v>
      </c>
      <c r="AO36" t="s">
        <v>49</v>
      </c>
      <c r="AP36" t="s">
        <v>50</v>
      </c>
      <c r="AQ36" t="s">
        <v>49</v>
      </c>
      <c r="AR36" t="s">
        <v>49</v>
      </c>
      <c r="AS36" t="s">
        <v>49</v>
      </c>
      <c r="AT36" t="s">
        <v>49</v>
      </c>
      <c r="AU36" t="s">
        <v>49</v>
      </c>
    </row>
    <row r="37" spans="1:47" x14ac:dyDescent="0.35">
      <c r="A37" t="s">
        <v>161</v>
      </c>
      <c r="B37" t="s">
        <v>162</v>
      </c>
      <c r="D37" t="s">
        <v>163</v>
      </c>
      <c r="E37" t="str">
        <f t="shared" si="0"/>
        <v>3120124010</v>
      </c>
      <c r="F37">
        <f t="shared" si="1"/>
        <v>8</v>
      </c>
      <c r="G37" t="s">
        <v>62</v>
      </c>
      <c r="H37" t="s">
        <v>49</v>
      </c>
      <c r="I37" t="s">
        <v>49</v>
      </c>
      <c r="J37" t="s">
        <v>50</v>
      </c>
      <c r="K37" t="s">
        <v>49</v>
      </c>
      <c r="L37" t="s">
        <v>49</v>
      </c>
      <c r="M37" t="s">
        <v>49</v>
      </c>
      <c r="N37" t="s">
        <v>49</v>
      </c>
      <c r="O37" t="s">
        <v>49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50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50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50</v>
      </c>
      <c r="AK37" t="s">
        <v>49</v>
      </c>
      <c r="AL37" t="s">
        <v>49</v>
      </c>
      <c r="AM37" t="s">
        <v>50</v>
      </c>
      <c r="AN37" t="s">
        <v>50</v>
      </c>
      <c r="AO37" t="s">
        <v>50</v>
      </c>
      <c r="AP37" t="s">
        <v>49</v>
      </c>
      <c r="AQ37" t="s">
        <v>50</v>
      </c>
      <c r="AR37" t="s">
        <v>49</v>
      </c>
      <c r="AS37" t="s">
        <v>49</v>
      </c>
      <c r="AT37" t="s">
        <v>49</v>
      </c>
      <c r="AU37" t="s">
        <v>49</v>
      </c>
    </row>
    <row r="38" spans="1:47" x14ac:dyDescent="0.35">
      <c r="A38" t="s">
        <v>164</v>
      </c>
      <c r="B38" t="s">
        <v>165</v>
      </c>
      <c r="D38" t="s">
        <v>166</v>
      </c>
      <c r="E38" t="str">
        <f t="shared" si="0"/>
        <v>3120221348</v>
      </c>
      <c r="F38">
        <f t="shared" si="1"/>
        <v>7.3</v>
      </c>
      <c r="G38" t="s">
        <v>87</v>
      </c>
      <c r="H38" t="s">
        <v>49</v>
      </c>
      <c r="I38" t="s">
        <v>49</v>
      </c>
      <c r="J38" t="s">
        <v>49</v>
      </c>
      <c r="K38" t="s">
        <v>49</v>
      </c>
      <c r="L38" t="s">
        <v>49</v>
      </c>
      <c r="M38" t="s">
        <v>49</v>
      </c>
      <c r="N38" t="s">
        <v>49</v>
      </c>
      <c r="O38" t="s">
        <v>49</v>
      </c>
      <c r="P38" t="s">
        <v>49</v>
      </c>
      <c r="Q38" t="s">
        <v>50</v>
      </c>
      <c r="R38" t="s">
        <v>49</v>
      </c>
      <c r="S38" t="s">
        <v>50</v>
      </c>
      <c r="T38" t="s">
        <v>49</v>
      </c>
      <c r="U38" t="s">
        <v>49</v>
      </c>
      <c r="V38" t="s">
        <v>50</v>
      </c>
      <c r="W38" t="s">
        <v>49</v>
      </c>
      <c r="X38" t="s">
        <v>49</v>
      </c>
      <c r="Y38" t="s">
        <v>50</v>
      </c>
      <c r="Z38" t="s">
        <v>49</v>
      </c>
      <c r="AA38" t="s">
        <v>50</v>
      </c>
      <c r="AB38" t="s">
        <v>49</v>
      </c>
      <c r="AC38" t="s">
        <v>49</v>
      </c>
      <c r="AD38" t="s">
        <v>49</v>
      </c>
      <c r="AE38" t="s">
        <v>49</v>
      </c>
      <c r="AF38" t="s">
        <v>50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50</v>
      </c>
      <c r="AP38" t="s">
        <v>50</v>
      </c>
      <c r="AQ38" t="s">
        <v>49</v>
      </c>
      <c r="AR38" t="s">
        <v>50</v>
      </c>
      <c r="AS38" t="s">
        <v>50</v>
      </c>
      <c r="AT38" t="s">
        <v>49</v>
      </c>
      <c r="AU38" t="s">
        <v>50</v>
      </c>
    </row>
    <row r="39" spans="1:47" x14ac:dyDescent="0.35">
      <c r="A39" t="s">
        <v>167</v>
      </c>
      <c r="B39" t="s">
        <v>168</v>
      </c>
      <c r="D39" t="s">
        <v>169</v>
      </c>
      <c r="E39" t="str">
        <f t="shared" si="0"/>
        <v>3120124015</v>
      </c>
      <c r="F39">
        <f t="shared" si="1"/>
        <v>8.5</v>
      </c>
      <c r="G39" t="s">
        <v>54</v>
      </c>
      <c r="H39" t="s">
        <v>49</v>
      </c>
      <c r="I39" t="s">
        <v>49</v>
      </c>
      <c r="J39" t="s">
        <v>49</v>
      </c>
      <c r="K39" t="s">
        <v>49</v>
      </c>
      <c r="L39" t="s">
        <v>49</v>
      </c>
      <c r="M39" t="s">
        <v>50</v>
      </c>
      <c r="N39" t="s">
        <v>49</v>
      </c>
      <c r="O39" t="s">
        <v>49</v>
      </c>
      <c r="P39" t="s">
        <v>50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50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  <c r="AN39" t="s">
        <v>49</v>
      </c>
      <c r="AO39" t="s">
        <v>49</v>
      </c>
      <c r="AP39" t="s">
        <v>49</v>
      </c>
      <c r="AQ39" t="s">
        <v>49</v>
      </c>
      <c r="AR39" t="s">
        <v>50</v>
      </c>
      <c r="AS39" t="s">
        <v>49</v>
      </c>
      <c r="AT39" t="s">
        <v>50</v>
      </c>
      <c r="AU39" t="s">
        <v>50</v>
      </c>
    </row>
    <row r="40" spans="1:47" x14ac:dyDescent="0.35">
      <c r="A40" t="s">
        <v>170</v>
      </c>
      <c r="G40" t="s">
        <v>171</v>
      </c>
      <c r="H40" t="s">
        <v>172</v>
      </c>
      <c r="I40" t="s">
        <v>173</v>
      </c>
      <c r="J40" t="s">
        <v>174</v>
      </c>
      <c r="K40" t="s">
        <v>173</v>
      </c>
      <c r="L40" t="s">
        <v>175</v>
      </c>
      <c r="M40" t="s">
        <v>176</v>
      </c>
      <c r="N40" t="s">
        <v>177</v>
      </c>
      <c r="O40" t="s">
        <v>177</v>
      </c>
      <c r="P40" t="s">
        <v>173</v>
      </c>
      <c r="Q40" t="s">
        <v>172</v>
      </c>
      <c r="R40" t="s">
        <v>177</v>
      </c>
      <c r="S40" t="s">
        <v>177</v>
      </c>
      <c r="T40" t="s">
        <v>177</v>
      </c>
      <c r="U40" t="s">
        <v>177</v>
      </c>
      <c r="V40" t="s">
        <v>178</v>
      </c>
      <c r="W40" t="s">
        <v>177</v>
      </c>
      <c r="X40" t="s">
        <v>174</v>
      </c>
      <c r="Y40" t="s">
        <v>179</v>
      </c>
      <c r="Z40" t="s">
        <v>173</v>
      </c>
      <c r="AA40" t="s">
        <v>176</v>
      </c>
      <c r="AB40" t="s">
        <v>173</v>
      </c>
      <c r="AC40" t="s">
        <v>172</v>
      </c>
      <c r="AD40" t="s">
        <v>176</v>
      </c>
      <c r="AE40" t="s">
        <v>173</v>
      </c>
      <c r="AF40" t="s">
        <v>176</v>
      </c>
      <c r="AG40" t="s">
        <v>175</v>
      </c>
      <c r="AH40" t="s">
        <v>177</v>
      </c>
      <c r="AI40" t="s">
        <v>179</v>
      </c>
      <c r="AJ40" t="s">
        <v>177</v>
      </c>
      <c r="AK40" t="s">
        <v>173</v>
      </c>
      <c r="AL40" t="s">
        <v>180</v>
      </c>
      <c r="AM40" t="s">
        <v>181</v>
      </c>
      <c r="AN40" t="s">
        <v>176</v>
      </c>
      <c r="AO40" t="s">
        <v>181</v>
      </c>
      <c r="AP40" t="s">
        <v>180</v>
      </c>
      <c r="AQ40" t="s">
        <v>179</v>
      </c>
      <c r="AR40" t="s">
        <v>182</v>
      </c>
      <c r="AS40" t="s">
        <v>183</v>
      </c>
      <c r="AT40" t="s">
        <v>184</v>
      </c>
      <c r="AU4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Midterm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Đoàn Duy Bình</cp:lastModifiedBy>
  <dcterms:modified xsi:type="dcterms:W3CDTF">2026-01-02T01:36:48Z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2026-01-01T15:59:34+07:00</dcterms:created>
  <dcterms:modified xsi:type="dcterms:W3CDTF">2026-01-01T15:59:34+07:00</dcterms:modified>
  <cp:revision>0</cp:revision>
</cp:coreProperties>
</file>